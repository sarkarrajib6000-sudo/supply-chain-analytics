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KPI Summary" sheetId="2" state="visible" r:id="rId4"/>
    <sheet name="Delivery &amp; Risk" sheetId="3" state="visible" r:id="rId5"/>
    <sheet name="Sales &amp; Profi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<sst xmlns="http://schemas.openxmlformats.org/spreadsheetml/2006/main" count="184" uniqueCount="165">
  <si>
    <t xml:space="preserve">DataCo Supply Chain Analysis — Dashboard</t>
  </si>
  <si>
    <t xml:space="preserve">Real order-level data (DataCo Smart Supply Chain dataset, 10,000-record sample) | Jan 2015 - Jan 2018</t>
  </si>
  <si>
    <t xml:space="preserve">DATASET</t>
  </si>
  <si>
    <t xml:space="preserve">- 10,000 order-item transactions across 5,576 unique customers</t>
  </si>
  <si>
    <t xml:space="preserve">- Source: DataCo Smart Supply Chain Dataset (Constante, Silva &amp; Pereira, 2019)</t>
  </si>
  <si>
    <t xml:space="preserve">- Cleaned via python/etl_pipeline.py; PII columns (email, password, name, street) removed before analysis</t>
  </si>
  <si>
    <t xml:space="preserve">HOW THIS WORKBOOK IS BUILT</t>
  </si>
  <si>
    <t xml:space="preserve">Every table in this workbook is the direct output of a SQL query in sql/02_business_queries.sql,</t>
  </si>
  <si>
    <t xml:space="preserve">run against data/supply_chain.db (SQLite). See the companion GitHub repo for the full pipeline:</t>
  </si>
  <si>
    <t xml:space="preserve">ETL script, SQL schema, business questions, and this dashboard.</t>
  </si>
  <si>
    <t xml:space="preserve">SHEETS</t>
  </si>
  <si>
    <t xml:space="preserve">1. KPI Summary       - headline metrics across the full dataset</t>
  </si>
  <si>
    <t xml:space="preserve">2. Delivery &amp; Risk    - late delivery risk by shipping mode, region, and market</t>
  </si>
  <si>
    <t xml:space="preserve">3. Sales &amp; Profit     - monthly trend, category profitability, customer segments, discount impact</t>
  </si>
  <si>
    <t xml:space="preserve">KEY FINDINGS</t>
  </si>
  <si>
    <t xml:space="preserve">- First Class shipping has the WORST late-delivery risk (99.7%) despite being a paid upgrade —</t>
  </si>
  <si>
    <t xml:space="preserve">  Standard Class is the most reliable mode (37.5% late risk).</t>
  </si>
  <si>
    <t xml:space="preserve">- Cleats, Women's Apparel, and Camping &amp; Hiking are the top 3 profit-driving categories.</t>
  </si>
  <si>
    <t xml:space="preserve">- Books and CDs are loss-making categories in this sample — candidates for a range review.</t>
  </si>
  <si>
    <t xml:space="preserve">- Discounting above 20% correlates with the LOWEST average profit ratio (10.9%) — 1-10% discount</t>
  </si>
  <si>
    <t xml:space="preserve">  bands actually show the highest margin (12.5%), suggesting current deep-discount practice may hurt margin.</t>
  </si>
  <si>
    <t xml:space="preserve">- 3.44% of order items are CANCELED or SUSPECTED_FRAUD — worth a dedicated fraud-review workflow.</t>
  </si>
  <si>
    <t xml:space="preserve">Headline KPIs</t>
  </si>
  <si>
    <t xml:space="preserve">Total Order Items</t>
  </si>
  <si>
    <t xml:space="preserve">10,000</t>
  </si>
  <si>
    <t xml:space="preserve">Unique Customers</t>
  </si>
  <si>
    <t xml:space="preserve">5,576</t>
  </si>
  <si>
    <t xml:space="preserve">Total Sales</t>
  </si>
  <si>
    <t xml:space="preserve">$1,989,985</t>
  </si>
  <si>
    <t xml:space="preserve">Total Profit</t>
  </si>
  <si>
    <t xml:space="preserve">$211,951</t>
  </si>
  <si>
    <t xml:space="preserve">Overall Late-Delivery Risk</t>
  </si>
  <si>
    <t xml:space="preserve">53.7%</t>
  </si>
  <si>
    <t xml:space="preserve">Canceled / Suspected Fraud Rate</t>
  </si>
  <si>
    <t xml:space="preserve">3.44%</t>
  </si>
  <si>
    <t xml:space="preserve">Order Status Breakdown</t>
  </si>
  <si>
    <t xml:space="preserve">Order Status</t>
  </si>
  <si>
    <t xml:space="preserve">Order Items</t>
  </si>
  <si>
    <t xml:space="preserve">Pct Of Total</t>
  </si>
  <si>
    <t xml:space="preserve">COMPLETE</t>
  </si>
  <si>
    <t xml:space="preserve">PENDING_PAYMENT</t>
  </si>
  <si>
    <t xml:space="preserve">CLOSED</t>
  </si>
  <si>
    <t xml:space="preserve">PROCESSING</t>
  </si>
  <si>
    <t xml:space="preserve">PENDING</t>
  </si>
  <si>
    <t xml:space="preserve">ON_HOLD</t>
  </si>
  <si>
    <t xml:space="preserve">SUSPECTED_FRAUD</t>
  </si>
  <si>
    <t xml:space="preserve">CANCELED</t>
  </si>
  <si>
    <t xml:space="preserve">PAYMENT_REVIEW</t>
  </si>
  <si>
    <t xml:space="preserve">Late-Delivery Risk by Shipping Mode</t>
  </si>
  <si>
    <t xml:space="preserve">Shipping Mode</t>
  </si>
  <si>
    <t xml:space="preserve">Total Shipments</t>
  </si>
  <si>
    <t xml:space="preserve">Late Risk Pct</t>
  </si>
  <si>
    <t xml:space="preserve">Avg Delay Days</t>
  </si>
  <si>
    <t xml:space="preserve">First Class</t>
  </si>
  <si>
    <t xml:space="preserve">Second Class</t>
  </si>
  <si>
    <t xml:space="preserve">Same Day</t>
  </si>
  <si>
    <t xml:space="preserve">Standard Class</t>
  </si>
  <si>
    <t xml:space="preserve">Avg. Delay &amp; Risk by Market</t>
  </si>
  <si>
    <t xml:space="preserve">Market</t>
  </si>
  <si>
    <t xml:space="preserve">Shipments</t>
  </si>
  <si>
    <t xml:space="preserve">Europe</t>
  </si>
  <si>
    <t xml:space="preserve">Africa</t>
  </si>
  <si>
    <t xml:space="preserve">LATAM</t>
  </si>
  <si>
    <t xml:space="preserve">USCA</t>
  </si>
  <si>
    <t xml:space="preserve">Pacific Asia</t>
  </si>
  <si>
    <t xml:space="preserve">Top 10 Regions by Late-Delivery Risk</t>
  </si>
  <si>
    <t xml:space="preserve">Order Region</t>
  </si>
  <si>
    <t xml:space="preserve">Northern Europe</t>
  </si>
  <si>
    <t xml:space="preserve">East Africa</t>
  </si>
  <si>
    <t xml:space="preserve">Southern Africa</t>
  </si>
  <si>
    <t xml:space="preserve">Southern Europe</t>
  </si>
  <si>
    <t xml:space="preserve">Western Europe</t>
  </si>
  <si>
    <t xml:space="preserve">Central Asia</t>
  </si>
  <si>
    <t xml:space="preserve">Eastern Europe</t>
  </si>
  <si>
    <t xml:space="preserve">Central Africa</t>
  </si>
  <si>
    <t xml:space="preserve">East of USA</t>
  </si>
  <si>
    <t xml:space="preserve">South of  USA </t>
  </si>
  <si>
    <t xml:space="preserve">Monthly Sales &amp; Profit Trend</t>
  </si>
  <si>
    <t xml:space="preserve">Order Month</t>
  </si>
  <si>
    <t xml:space="preserve">Order Count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</si>
  <si>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</si>
  <si>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</si>
  <si>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</si>
  <si>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</si>
  <si>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</si>
  <si>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</si>
  <si>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</si>
  <si>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</si>
  <si>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</si>
  <si>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</si>
  <si>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</si>
  <si>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</si>
  <si>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</si>
  <si>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</si>
  <si>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</si>
  <si>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</si>
  <si>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</si>
  <si>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</si>
  <si>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</si>
  <si>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</si>
  <si>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</si>
  <si>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</si>
  <si>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</si>
  <si>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</si>
  <si>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</si>
  <si>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</si>
  <si>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</si>
  <si>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</si>
  <si>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</si>
  <si>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</si>
  <si>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</si>
  <si>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</si>
  <si>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</si>
  <si>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</si>
  <si>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</si>
  <si>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</si>
  <si>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</si>
  <si>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Top 10 Categories by Profit</t>
  </si>
  <si>
    <t xml:space="preserve">Category Name</t>
  </si>
  <si>
    <t xml:space="preserve">Profit Margin Pct</t>
  </si>
  <si>
    <t xml:space="preserve">Cleats</t>
  </si>
  <si>
    <t xml:space="preserve">Women's Apparel</t>
  </si>
  <si>
    <t xml:space="preserve">Camping &amp; Hiking</t>
  </si>
  <si>
    <t xml:space="preserve">Cardio Equipment</t>
  </si>
  <si>
    <t xml:space="preserve">Men's Footwear</t>
  </si>
  <si>
    <t xml:space="preserve">Fishing</t>
  </si>
  <si>
    <t xml:space="preserve">Sporting Goods</t>
  </si>
  <si>
    <t xml:space="preserve">Shop By Sport</t>
  </si>
  <si>
    <t xml:space="preserve">Hockey</t>
  </si>
  <si>
    <t xml:space="preserve">Electronics</t>
  </si>
  <si>
    <t xml:space="preserve">Bottom 10 Categories by Profit</t>
  </si>
  <si>
    <t xml:space="preserve">Books </t>
  </si>
  <si>
    <t xml:space="preserve">CDs </t>
  </si>
  <si>
    <t xml:space="preserve">Pet Supplies</t>
  </si>
  <si>
    <t xml:space="preserve">DVDs</t>
  </si>
  <si>
    <t xml:space="preserve">Baby </t>
  </si>
  <si>
    <t xml:space="preserve">Strength Training</t>
  </si>
  <si>
    <t xml:space="preserve">As Seen on  TV!</t>
  </si>
  <si>
    <t xml:space="preserve">Video Games</t>
  </si>
  <si>
    <t xml:space="preserve">Boxing &amp; MMA</t>
  </si>
  <si>
    <t xml:space="preserve">Lacrosse</t>
  </si>
  <si>
    <t xml:space="preserve">Customer Segment Performance</t>
  </si>
  <si>
    <t xml:space="preserve">Customer Segment</t>
  </si>
  <si>
    <t xml:space="preserve">Customers</t>
  </si>
  <si>
    <t xml:space="preserve">Avg Sales Per Customer</t>
  </si>
  <si>
    <t xml:space="preserve">Consumer</t>
  </si>
  <si>
    <t xml:space="preserve">Corporate</t>
  </si>
  <si>
    <t xml:space="preserve">Home Office</t>
  </si>
  <si>
    <t xml:space="preserve">Discount Rate vs. Avg. Profit Ratio</t>
  </si>
  <si>
    <t xml:space="preserve">Discount Band</t>
  </si>
  <si>
    <t xml:space="preserve">Line Items</t>
  </si>
  <si>
    <t xml:space="preserve">Avg Profit Ratio Pct</t>
  </si>
  <si>
    <t xml:space="preserve">0% (no discount)</t>
  </si>
  <si>
    <t xml:space="preserve">1-10%</t>
  </si>
  <si>
    <t xml:space="preserve">11-20%</t>
  </si>
  <si>
    <t xml:space="preserve">21%+</t>
  </si>
  <si>
    <t xml:space="preserve">Top 10 Regions by Sales</t>
  </si>
  <si>
    <t xml:space="preserve">Orders</t>
  </si>
  <si>
    <t xml:space="preserve">Central America</t>
  </si>
  <si>
    <t xml:space="preserve">Southeast Asia</t>
  </si>
  <si>
    <t xml:space="preserve">Oceania</t>
  </si>
  <si>
    <t xml:space="preserve">South America</t>
  </si>
  <si>
    <t xml:space="preserve">Eastern Asia</t>
  </si>
  <si>
    <t xml:space="preserve">South Asia</t>
  </si>
  <si>
    <t xml:space="preserve">Caribbean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</si>
</sst>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Items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Summary'!C13</c:f>
              <c:strCache>
                <c:ptCount val="1"/>
                <c:pt idx="0">
                  <c:v>Order Items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Summary'!$B$14:$B$22</c:f>
              <c:strCache>
                <c:ptCount val="9"/>
                <c:pt idx="0">
                  <c:v>COMPLETE</c:v>
                </c:pt>
                <c:pt idx="1">
                  <c:v>PENDING_PAYMENT</c:v>
                </c:pt>
                <c:pt idx="2">
                  <c:v>CLOSED</c:v>
                </c:pt>
                <c:pt idx="3">
                  <c:v>PROCESSING</c:v>
                </c:pt>
                <c:pt idx="4">
                  <c:v>PENDING</c:v>
                </c:pt>
                <c:pt idx="5">
                  <c:v>ON_HOLD</c:v>
                </c:pt>
                <c:pt idx="6">
                  <c:v>SUSPECTED_FRAUD</c:v>
                </c:pt>
                <c:pt idx="7">
                  <c:v>CANCELED</c:v>
                </c:pt>
                <c:pt idx="8">
                  <c:v>PAYMENT_REVIEW</c:v>
                </c:pt>
              </c:strCache>
            </c:strRef>
          </c:cat>
          <c:val>
            <c:numRef>
              <c:f>'KPI Summary'!$C$14:$C$22</c:f>
              <c:numCache>
                <c:formatCode>General</c:formatCode>
                <c:ptCount val="9"/>
                <c:pt idx="0">
                  <c:v>3738</c:v>
                </c:pt>
                <c:pt idx="1">
                  <c:v>1811</c:v>
                </c:pt>
                <c:pt idx="2">
                  <c:v>1677</c:v>
                </c:pt>
                <c:pt idx="3">
                  <c:v>940</c:v>
                </c:pt>
                <c:pt idx="4">
                  <c:v>810</c:v>
                </c:pt>
                <c:pt idx="5">
                  <c:v>602</c:v>
                </c:pt>
                <c:pt idx="6">
                  <c:v>194</c:v>
                </c:pt>
                <c:pt idx="7">
                  <c:v>150</c:v>
                </c:pt>
                <c:pt idx="8">
                  <c:v>78</c:v>
                </c:pt>
              </c:numCache>
            </c:numRef>
          </c:val>
        </c:ser>
        <c:gapWidth val="150"/>
        <c:overlap val="0"/>
        <c:axId val="94628704"/>
        <c:axId val="90746056"/>
      </c:barChart>
      <c:catAx>
        <c:axId val="9462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46056"/>
        <c:crosses val="autoZero"/>
        <c:auto val="1"/>
        <c:lblAlgn val="ctr"/>
        <c:lblOffset val="100"/>
        <c:noMultiLvlLbl val="0"/>
      </c:catAx>
      <c:valAx>
        <c:axId val="90746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87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Late-Delivery Risk (%) by Shipping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'Delivery &amp; Risk'!D3</c:f>
              <c:strCache>
                <c:ptCount val="1"/>
                <c:pt idx="0">
                  <c:v>Late Risk 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&amp; Risk'!$B$4:$B$7</c:f>
              <c:strCache>
                <c:ptCount val="4"/>
                <c:pt idx="0">
                  <c:v>First Class</c:v>
                </c:pt>
                <c:pt idx="1">
                  <c:v>Second Class</c:v>
                </c:pt>
                <c:pt idx="2">
                  <c:v>Same Day</c:v>
                </c:pt>
                <c:pt idx="3">
                  <c:v>Standard Class</c:v>
                </c:pt>
              </c:strCache>
            </c:strRef>
          </c:cat>
          <c:val>
            <c:numRef>
              <c:f>'Delivery &amp; Risk'!$D$4:$D$7</c:f>
              <c:numCache>
                <c:formatCode>0.0%</c:formatCode>
                <c:ptCount val="4"/>
                <c:pt idx="0">
                  <c:v>0.997</c:v>
                </c:pt>
                <c:pt idx="1">
                  <c:v>0.799</c:v>
                </c:pt>
                <c:pt idx="2">
                  <c:v>0.566</c:v>
                </c:pt>
                <c:pt idx="3">
                  <c:v>0.375</c:v>
                </c:pt>
              </c:numCache>
            </c:numRef>
          </c:val>
        </c:ser>
        <c:gapWidth val="150"/>
        <c:overlap val="0"/>
        <c:axId val="38354641"/>
        <c:axId val="74503370"/>
      </c:barChart>
      <c:catAx>
        <c:axId val="383546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03370"/>
        <c:crosses val="autoZero"/>
        <c:auto val="1"/>
        <c:lblAlgn val="ctr"/>
        <c:lblOffset val="100"/>
        <c:noMultiLvlLbl val="0"/>
      </c:catAx>
      <c:valAx>
        <c:axId val="74503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54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Regions by Late-Delivery Risk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'Delivery &amp; Risk'!D20</c:f>
              <c:strCache>
                <c:ptCount val="1"/>
                <c:pt idx="0">
                  <c:v>Late Risk 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&amp; Risk'!$B$21:$B$30</c:f>
              <c:strCache>
                <c:ptCount val="10"/>
                <c:pt idx="0">
                  <c:v>Northern Europe</c:v>
                </c:pt>
                <c:pt idx="1">
                  <c:v>East Africa</c:v>
                </c:pt>
                <c:pt idx="2">
                  <c:v>Southern Africa</c:v>
                </c:pt>
                <c:pt idx="3">
                  <c:v>Southern Europe</c:v>
                </c:pt>
                <c:pt idx="4">
                  <c:v>Western Europe</c:v>
                </c:pt>
                <c:pt idx="5">
                  <c:v>Central Asia</c:v>
                </c:pt>
                <c:pt idx="6">
                  <c:v>Eastern Europe</c:v>
                </c:pt>
                <c:pt idx="7">
                  <c:v>Central Africa</c:v>
                </c:pt>
                <c:pt idx="8">
                  <c:v>East of USA</c:v>
                </c:pt>
                <c:pt idx="9">
                  <c:v>South of  USA </c:v>
                </c:pt>
              </c:strCache>
            </c:strRef>
          </c:cat>
          <c:val>
            <c:numRef>
              <c:f>'Delivery &amp; Risk'!$D$21:$D$30</c:f>
              <c:numCache>
                <c:formatCode>0.0%</c:formatCode>
                <c:ptCount val="10"/>
                <c:pt idx="0">
                  <c:v>0.662</c:v>
                </c:pt>
                <c:pt idx="1">
                  <c:v>0.651</c:v>
                </c:pt>
                <c:pt idx="2">
                  <c:v>0.608</c:v>
                </c:pt>
                <c:pt idx="3">
                  <c:v>0.595</c:v>
                </c:pt>
                <c:pt idx="4">
                  <c:v>0.587</c:v>
                </c:pt>
                <c:pt idx="5">
                  <c:v>0.581</c:v>
                </c:pt>
                <c:pt idx="6">
                  <c:v>0.568</c:v>
                </c:pt>
                <c:pt idx="7">
                  <c:v>0.56</c:v>
                </c:pt>
                <c:pt idx="8">
                  <c:v>0.557</c:v>
                </c:pt>
                <c:pt idx="9">
                  <c:v>0.555</c:v>
                </c:pt>
              </c:numCache>
            </c:numRef>
          </c:val>
        </c:ser>
        <c:gapWidth val="150"/>
        <c:overlap val="0"/>
        <c:axId val="63957256"/>
        <c:axId val="94405154"/>
      </c:barChart>
      <c:catAx>
        <c:axId val="6395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05154"/>
        <c:crosses val="autoZero"/>
        <c:auto val="1"/>
        <c:lblAlgn val="ctr"/>
        <c:lblOffset val="100"/>
        <c:noMultiLvlLbl val="0"/>
      </c:catAx>
      <c:valAx>
        <c:axId val="94405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57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&amp; Profit'!C3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&amp; Profit'!$B$4:$B$40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'Sales &amp; Profit'!$C$4:$C$40</c:f>
              <c:numCache>
                <c:formatCode>General</c:formatCode>
                <c:ptCount val="37"/>
                <c:pt idx="0">
                  <c:v>50470</c:v>
                </c:pt>
                <c:pt idx="1">
                  <c:v>44206</c:v>
                </c:pt>
                <c:pt idx="2">
                  <c:v>53749</c:v>
                </c:pt>
                <c:pt idx="3">
                  <c:v>53907</c:v>
                </c:pt>
                <c:pt idx="4">
                  <c:v>49524</c:v>
                </c:pt>
                <c:pt idx="5">
                  <c:v>59511</c:v>
                </c:pt>
                <c:pt idx="6">
                  <c:v>47948</c:v>
                </c:pt>
                <c:pt idx="7">
                  <c:v>66563</c:v>
                </c:pt>
                <c:pt idx="8">
                  <c:v>68413</c:v>
                </c:pt>
                <c:pt idx="9">
                  <c:v>64270</c:v>
                </c:pt>
                <c:pt idx="10">
                  <c:v>81282</c:v>
                </c:pt>
                <c:pt idx="11">
                  <c:v>83803</c:v>
                </c:pt>
                <c:pt idx="12">
                  <c:v>70639</c:v>
                </c:pt>
                <c:pt idx="13">
                  <c:v>48334</c:v>
                </c:pt>
                <c:pt idx="14">
                  <c:v>50056</c:v>
                </c:pt>
                <c:pt idx="15">
                  <c:v>50813</c:v>
                </c:pt>
                <c:pt idx="16">
                  <c:v>55204</c:v>
                </c:pt>
                <c:pt idx="17">
                  <c:v>35334</c:v>
                </c:pt>
                <c:pt idx="18">
                  <c:v>42049</c:v>
                </c:pt>
                <c:pt idx="19">
                  <c:v>45246</c:v>
                </c:pt>
                <c:pt idx="20">
                  <c:v>45519</c:v>
                </c:pt>
                <c:pt idx="21">
                  <c:v>48478</c:v>
                </c:pt>
                <c:pt idx="22">
                  <c:v>47199</c:v>
                </c:pt>
                <c:pt idx="23">
                  <c:v>49276</c:v>
                </c:pt>
                <c:pt idx="24">
                  <c:v>38417</c:v>
                </c:pt>
                <c:pt idx="25">
                  <c:v>51107</c:v>
                </c:pt>
                <c:pt idx="26">
                  <c:v>45322</c:v>
                </c:pt>
                <c:pt idx="27">
                  <c:v>47534</c:v>
                </c:pt>
                <c:pt idx="28">
                  <c:v>46050</c:v>
                </c:pt>
                <c:pt idx="29">
                  <c:v>42358</c:v>
                </c:pt>
                <c:pt idx="30">
                  <c:v>44589</c:v>
                </c:pt>
                <c:pt idx="31">
                  <c:v>43274</c:v>
                </c:pt>
                <c:pt idx="32">
                  <c:v>54144</c:v>
                </c:pt>
                <c:pt idx="33">
                  <c:v>56910</c:v>
                </c:pt>
                <c:pt idx="34">
                  <c:v>46716</c:v>
                </c:pt>
                <c:pt idx="35">
                  <c:v>76387</c:v>
                </c:pt>
                <c:pt idx="36">
                  <c:v>85382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'Sales &amp; Profit'!D3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&amp; Profit'!$B$4:$B$40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'Sales &amp; Profit'!$D$4:$D$40</c:f>
              <c:numCache>
                <c:formatCode>General</c:formatCode>
                <c:ptCount val="37"/>
                <c:pt idx="0">
                  <c:v>5760</c:v>
                </c:pt>
                <c:pt idx="1">
                  <c:v>6150</c:v>
                </c:pt>
                <c:pt idx="2">
                  <c:v>5021</c:v>
                </c:pt>
                <c:pt idx="3">
                  <c:v>6278</c:v>
                </c:pt>
                <c:pt idx="4">
                  <c:v>5432</c:v>
                </c:pt>
                <c:pt idx="5">
                  <c:v>7005</c:v>
                </c:pt>
                <c:pt idx="6">
                  <c:v>5019</c:v>
                </c:pt>
                <c:pt idx="7">
                  <c:v>8681</c:v>
                </c:pt>
                <c:pt idx="8">
                  <c:v>9850</c:v>
                </c:pt>
                <c:pt idx="9">
                  <c:v>1546</c:v>
                </c:pt>
                <c:pt idx="10">
                  <c:v>8148</c:v>
                </c:pt>
                <c:pt idx="11">
                  <c:v>10192</c:v>
                </c:pt>
                <c:pt idx="12">
                  <c:v>7536</c:v>
                </c:pt>
                <c:pt idx="13">
                  <c:v>3229</c:v>
                </c:pt>
                <c:pt idx="14">
                  <c:v>5480</c:v>
                </c:pt>
                <c:pt idx="15">
                  <c:v>7590</c:v>
                </c:pt>
                <c:pt idx="16">
                  <c:v>2736</c:v>
                </c:pt>
                <c:pt idx="17">
                  <c:v>4973</c:v>
                </c:pt>
                <c:pt idx="18">
                  <c:v>3640</c:v>
                </c:pt>
                <c:pt idx="19">
                  <c:v>2161</c:v>
                </c:pt>
                <c:pt idx="20">
                  <c:v>5925</c:v>
                </c:pt>
                <c:pt idx="21">
                  <c:v>6089</c:v>
                </c:pt>
                <c:pt idx="22">
                  <c:v>4139</c:v>
                </c:pt>
                <c:pt idx="23">
                  <c:v>4833</c:v>
                </c:pt>
                <c:pt idx="24">
                  <c:v>4059</c:v>
                </c:pt>
                <c:pt idx="25">
                  <c:v>5486</c:v>
                </c:pt>
                <c:pt idx="26">
                  <c:v>5011</c:v>
                </c:pt>
                <c:pt idx="27">
                  <c:v>3902</c:v>
                </c:pt>
                <c:pt idx="28">
                  <c:v>4377</c:v>
                </c:pt>
                <c:pt idx="29">
                  <c:v>3977</c:v>
                </c:pt>
                <c:pt idx="30">
                  <c:v>7277</c:v>
                </c:pt>
                <c:pt idx="31">
                  <c:v>3733</c:v>
                </c:pt>
                <c:pt idx="32">
                  <c:v>5982</c:v>
                </c:pt>
                <c:pt idx="33">
                  <c:v>10000</c:v>
                </c:pt>
                <c:pt idx="34">
                  <c:v>5690</c:v>
                </c:pt>
                <c:pt idx="35">
                  <c:v>8534</c:v>
                </c:pt>
                <c:pt idx="36">
                  <c:v>6509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484409"/>
        <c:axId val="31172942"/>
      </c:lineChart>
      <c:catAx>
        <c:axId val="28484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72942"/>
        <c:crosses val="autoZero"/>
        <c:auto val="1"/>
        <c:lblAlgn val="ctr"/>
        <c:lblOffset val="100"/>
        <c:noMultiLvlLbl val="0"/>
      </c:catAx>
      <c:valAx>
        <c:axId val="31172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84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Categories by Profit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&amp; Profit'!C44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&amp; Profit'!$B$45:$B$54</c:f>
              <c:strCache>
                <c:ptCount val="10"/>
                <c:pt idx="0">
                  <c:v>Cleats</c:v>
                </c:pt>
                <c:pt idx="1">
                  <c:v>Women's Apparel</c:v>
                </c:pt>
                <c:pt idx="2">
                  <c:v>Camping &amp; Hiking</c:v>
                </c:pt>
                <c:pt idx="3">
                  <c:v>Cardio Equipment</c:v>
                </c:pt>
                <c:pt idx="4">
                  <c:v>Men's Footwear</c:v>
                </c:pt>
                <c:pt idx="5">
                  <c:v>Fishing</c:v>
                </c:pt>
                <c:pt idx="6">
                  <c:v>Sporting Goods</c:v>
                </c:pt>
                <c:pt idx="7">
                  <c:v>Shop By Sport</c:v>
                </c:pt>
                <c:pt idx="8">
                  <c:v>Hockey</c:v>
                </c:pt>
                <c:pt idx="9">
                  <c:v>Electronics</c:v>
                </c:pt>
              </c:strCache>
            </c:strRef>
          </c:cat>
          <c:val>
            <c:numRef>
              <c:f>'Sales &amp; Profit'!$C$45:$C$54</c:f>
              <c:numCache>
                <c:formatCode>General</c:formatCode>
                <c:ptCount val="10"/>
                <c:pt idx="0">
                  <c:v>31753</c:v>
                </c:pt>
                <c:pt idx="1">
                  <c:v>30112</c:v>
                </c:pt>
                <c:pt idx="2">
                  <c:v>28162</c:v>
                </c:pt>
                <c:pt idx="3">
                  <c:v>27637</c:v>
                </c:pt>
                <c:pt idx="4">
                  <c:v>17297</c:v>
                </c:pt>
                <c:pt idx="5">
                  <c:v>15265</c:v>
                </c:pt>
                <c:pt idx="6">
                  <c:v>12519</c:v>
                </c:pt>
                <c:pt idx="7">
                  <c:v>11681</c:v>
                </c:pt>
                <c:pt idx="8">
                  <c:v>5397</c:v>
                </c:pt>
                <c:pt idx="9">
                  <c:v>3405</c:v>
                </c:pt>
              </c:numCache>
            </c:numRef>
          </c:val>
        </c:ser>
        <c:gapWidth val="150"/>
        <c:overlap val="0"/>
        <c:axId val="50879386"/>
        <c:axId val="79075044"/>
      </c:barChart>
      <c:catAx>
        <c:axId val="508793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75044"/>
        <c:crosses val="autoZero"/>
        <c:auto val="1"/>
        <c:lblAlgn val="ctr"/>
        <c:lblOffset val="100"/>
        <c:noMultiLvlLbl val="0"/>
      </c:catAx>
      <c:valAx>
        <c:axId val="79075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793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Avg. Profit Ratio (%)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&amp; Profit'!D79</c:f>
              <c:strCache>
                <c:ptCount val="1"/>
                <c:pt idx="0">
                  <c:v>Avg Profit Ratio 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&amp; Profit'!$B$80:$B$83</c:f>
              <c:strCache>
                <c:ptCount val="4"/>
                <c:pt idx="0">
                  <c:v>0% (no discount)</c:v>
                </c:pt>
                <c:pt idx="1">
                  <c:v>1-10%</c:v>
                </c:pt>
                <c:pt idx="2">
                  <c:v>11-20%</c:v>
                </c:pt>
                <c:pt idx="3">
                  <c:v>21%+</c:v>
                </c:pt>
              </c:strCache>
            </c:strRef>
          </c:cat>
          <c:val>
            <c:numRef>
              <c:f>'Sales &amp; Profit'!$D$80:$D$83</c:f>
              <c:numCache>
                <c:formatCode>0.0%</c:formatCode>
                <c:ptCount val="4"/>
                <c:pt idx="0">
                  <c:v>0.0962</c:v>
                </c:pt>
                <c:pt idx="1">
                  <c:v>0.1247</c:v>
                </c:pt>
                <c:pt idx="2">
                  <c:v>0.1197</c:v>
                </c:pt>
                <c:pt idx="3">
                  <c:v>0.109</c:v>
                </c:pt>
              </c:numCache>
            </c:numRef>
          </c:val>
        </c:ser>
        <c:gapWidth val="150"/>
        <c:overlap val="0"/>
        <c:axId val="47813608"/>
        <c:axId val="56794129"/>
      </c:barChart>
      <c:catAx>
        <c:axId val="4781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94129"/>
        <c:crosses val="autoZero"/>
        <c:auto val="1"/>
        <c:lblAlgn val="ctr"/>
        <c:lblOffset val="100"/>
        <c:noMultiLvlLbl val="0"/>
      </c:catAx>
      <c:valAx>
        <c:axId val="56794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13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222480</xdr:rowOff>
    </xdr:from>
    <xdr:to>
      <xdr:col>15</xdr:col>
      <xdr:colOff>364680</xdr:colOff>
      <xdr:row>21</xdr:row>
      <xdr:rowOff>180360</xdr:rowOff>
    </xdr:to>
    <xdr:graphicFrame>
      <xdr:nvGraphicFramePr>
        <xdr:cNvPr id="0" name="Chart 1"/>
        <xdr:cNvGraphicFramePr/>
      </xdr:nvGraphicFramePr>
      <xdr:xfrm>
        <a:off x="6015960" y="2095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15</xdr:row>
      <xdr:rowOff>183240</xdr:rowOff>
    </xdr:to>
    <xdr:graphicFrame>
      <xdr:nvGraphicFramePr>
        <xdr:cNvPr id="1" name="Chart 1"/>
        <xdr:cNvGraphicFramePr/>
      </xdr:nvGraphicFramePr>
      <xdr:xfrm>
        <a:off x="686196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161280</xdr:rowOff>
    </xdr:from>
    <xdr:to>
      <xdr:col>15</xdr:col>
      <xdr:colOff>256320</xdr:colOff>
      <xdr:row>35</xdr:row>
      <xdr:rowOff>147600</xdr:rowOff>
    </xdr:to>
    <xdr:graphicFrame>
      <xdr:nvGraphicFramePr>
        <xdr:cNvPr id="2" name="Chart 2"/>
        <xdr:cNvGraphicFramePr/>
      </xdr:nvGraphicFramePr>
      <xdr:xfrm>
        <a:off x="6861960" y="3619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18</xdr:col>
      <xdr:colOff>581760</xdr:colOff>
      <xdr:row>16</xdr:row>
      <xdr:rowOff>7560</xdr:rowOff>
    </xdr:to>
    <xdr:graphicFrame>
      <xdr:nvGraphicFramePr>
        <xdr:cNvPr id="3" name="Chart 1"/>
        <xdr:cNvGraphicFramePr/>
      </xdr:nvGraphicFramePr>
      <xdr:xfrm>
        <a:off x="5734080" y="1904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175680</xdr:rowOff>
    </xdr:from>
    <xdr:to>
      <xdr:col>15</xdr:col>
      <xdr:colOff>255960</xdr:colOff>
      <xdr:row>35</xdr:row>
      <xdr:rowOff>177120</xdr:rowOff>
    </xdr:to>
    <xdr:graphicFrame>
      <xdr:nvGraphicFramePr>
        <xdr:cNvPr id="4" name="Chart 2"/>
        <xdr:cNvGraphicFramePr/>
      </xdr:nvGraphicFramePr>
      <xdr:xfrm>
        <a:off x="5734080" y="3619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175680</xdr:rowOff>
    </xdr:from>
    <xdr:to>
      <xdr:col>15</xdr:col>
      <xdr:colOff>255960</xdr:colOff>
      <xdr:row>51</xdr:row>
      <xdr:rowOff>183240</xdr:rowOff>
    </xdr:to>
    <xdr:graphicFrame>
      <xdr:nvGraphicFramePr>
        <xdr:cNvPr id="5" name="Chart 3"/>
        <xdr:cNvGraphicFramePr/>
      </xdr:nvGraphicFramePr>
      <xdr:xfrm>
        <a:off x="5734080" y="7048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14</v>
      </c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3" t="s">
        <v>21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4" min="3" style="0" width="18"/>
  </cols>
  <sheetData>
    <row r="2" customFormat="false" ht="19.7" hidden="false" customHeight="false" outlineLevel="0" collapsed="false">
      <c r="B2" s="1" t="s">
        <v>22</v>
      </c>
    </row>
    <row r="4" customFormat="false" ht="24.45" hidden="false" customHeight="false" outlineLevel="0" collapsed="false">
      <c r="B4" s="4" t="s">
        <v>23</v>
      </c>
      <c r="D4" s="5" t="s">
        <v>24</v>
      </c>
    </row>
    <row r="5" customFormat="false" ht="24.45" hidden="false" customHeight="false" outlineLevel="0" collapsed="false">
      <c r="B5" s="4" t="s">
        <v>25</v>
      </c>
      <c r="D5" s="5" t="s">
        <v>26</v>
      </c>
    </row>
    <row r="6" customFormat="false" ht="24.45" hidden="false" customHeight="false" outlineLevel="0" collapsed="false">
      <c r="B6" s="4" t="s">
        <v>27</v>
      </c>
      <c r="D6" s="5" t="s">
        <v>28</v>
      </c>
    </row>
    <row r="7" customFormat="false" ht="24.45" hidden="false" customHeight="false" outlineLevel="0" collapsed="false">
      <c r="B7" s="4" t="s">
        <v>29</v>
      </c>
      <c r="D7" s="5" t="s">
        <v>30</v>
      </c>
    </row>
    <row r="8" customFormat="false" ht="24.45" hidden="false" customHeight="false" outlineLevel="0" collapsed="false">
      <c r="B8" s="4" t="s">
        <v>31</v>
      </c>
      <c r="D8" s="5" t="s">
        <v>32</v>
      </c>
    </row>
    <row r="9" customFormat="false" ht="24.45" hidden="false" customHeight="false" outlineLevel="0" collapsed="false">
      <c r="B9" s="4" t="s">
        <v>33</v>
      </c>
      <c r="D9" s="5" t="s">
        <v>34</v>
      </c>
    </row>
    <row r="12" customFormat="false" ht="16.15" hidden="false" customHeight="false" outlineLevel="0" collapsed="false">
      <c r="B12" s="6" t="s">
        <v>35</v>
      </c>
    </row>
    <row r="13" customFormat="false" ht="15" hidden="false" customHeight="false" outlineLevel="0" collapsed="false">
      <c r="B13" s="7" t="s">
        <v>36</v>
      </c>
      <c r="C13" s="7" t="s">
        <v>37</v>
      </c>
      <c r="D13" s="7" t="s">
        <v>38</v>
      </c>
    </row>
    <row r="14" customFormat="false" ht="15" hidden="false" customHeight="false" outlineLevel="0" collapsed="false">
      <c r="B14" s="3" t="s">
        <v>39</v>
      </c>
      <c r="C14" s="3" t="n">
        <v>3738</v>
      </c>
      <c r="D14" s="8" t="n">
        <v>0.3738</v>
      </c>
    </row>
    <row r="15" customFormat="false" ht="15" hidden="false" customHeight="false" outlineLevel="0" collapsed="false">
      <c r="B15" s="3" t="s">
        <v>40</v>
      </c>
      <c r="C15" s="3" t="n">
        <v>1811</v>
      </c>
      <c r="D15" s="8" t="n">
        <v>0.1811</v>
      </c>
    </row>
    <row r="16" customFormat="false" ht="15" hidden="false" customHeight="false" outlineLevel="0" collapsed="false">
      <c r="B16" s="3" t="s">
        <v>41</v>
      </c>
      <c r="C16" s="3" t="n">
        <v>1677</v>
      </c>
      <c r="D16" s="8" t="n">
        <v>0.1677</v>
      </c>
    </row>
    <row r="17" customFormat="false" ht="15" hidden="false" customHeight="false" outlineLevel="0" collapsed="false">
      <c r="B17" s="3" t="s">
        <v>42</v>
      </c>
      <c r="C17" s="3" t="n">
        <v>940</v>
      </c>
      <c r="D17" s="8" t="n">
        <v>0.094</v>
      </c>
    </row>
    <row r="18" customFormat="false" ht="15" hidden="false" customHeight="false" outlineLevel="0" collapsed="false">
      <c r="B18" s="3" t="s">
        <v>43</v>
      </c>
      <c r="C18" s="3" t="n">
        <v>810</v>
      </c>
      <c r="D18" s="8" t="n">
        <v>0.081</v>
      </c>
    </row>
    <row r="19" customFormat="false" ht="15" hidden="false" customHeight="false" outlineLevel="0" collapsed="false">
      <c r="B19" s="3" t="s">
        <v>44</v>
      </c>
      <c r="C19" s="3" t="n">
        <v>602</v>
      </c>
      <c r="D19" s="8" t="n">
        <v>0.0602</v>
      </c>
    </row>
    <row r="20" customFormat="false" ht="15" hidden="false" customHeight="false" outlineLevel="0" collapsed="false">
      <c r="B20" s="3" t="s">
        <v>45</v>
      </c>
      <c r="C20" s="3" t="n">
        <v>194</v>
      </c>
      <c r="D20" s="8" t="n">
        <v>0.0194</v>
      </c>
    </row>
    <row r="21" customFormat="false" ht="15" hidden="false" customHeight="false" outlineLevel="0" collapsed="false">
      <c r="B21" s="3" t="s">
        <v>46</v>
      </c>
      <c r="C21" s="3" t="n">
        <v>150</v>
      </c>
      <c r="D21" s="8" t="n">
        <v>0.015</v>
      </c>
    </row>
    <row r="22" customFormat="false" ht="15" hidden="false" customHeight="false" outlineLevel="0" collapsed="false">
      <c r="B22" s="3" t="s">
        <v>47</v>
      </c>
      <c r="C22" s="3" t="n">
        <v>78</v>
      </c>
      <c r="D22" s="8" t="n">
        <v>0.0078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2" style="0" width="20"/>
  </cols>
  <sheetData>
    <row r="2" customFormat="false" ht="16.15" hidden="false" customHeight="false" outlineLevel="0" collapsed="false">
      <c r="B2" s="6" t="s">
        <v>48</v>
      </c>
    </row>
    <row r="3" customFormat="false" ht="15" hidden="false" customHeight="false" outlineLevel="0" collapsed="false">
      <c r="B3" s="7" t="s">
        <v>49</v>
      </c>
      <c r="C3" s="7" t="s">
        <v>50</v>
      </c>
      <c r="D3" s="7" t="s">
        <v>51</v>
      </c>
      <c r="E3" s="7" t="s">
        <v>52</v>
      </c>
    </row>
    <row r="4" customFormat="false" ht="15" hidden="false" customHeight="false" outlineLevel="0" collapsed="false">
      <c r="B4" s="3" t="s">
        <v>53</v>
      </c>
      <c r="C4" s="3" t="n">
        <v>1155</v>
      </c>
      <c r="D4" s="8" t="n">
        <v>0.997</v>
      </c>
      <c r="E4" s="3" t="n">
        <v>1</v>
      </c>
    </row>
    <row r="5" customFormat="false" ht="15" hidden="false" customHeight="false" outlineLevel="0" collapsed="false">
      <c r="B5" s="3" t="s">
        <v>54</v>
      </c>
      <c r="C5" s="3" t="n">
        <v>2074</v>
      </c>
      <c r="D5" s="8" t="n">
        <v>0.799</v>
      </c>
      <c r="E5" s="3" t="n">
        <v>2.01</v>
      </c>
    </row>
    <row r="6" customFormat="false" ht="15" hidden="false" customHeight="false" outlineLevel="0" collapsed="false">
      <c r="B6" s="3" t="s">
        <v>55</v>
      </c>
      <c r="C6" s="3" t="n">
        <v>143</v>
      </c>
      <c r="D6" s="8" t="n">
        <v>0.566</v>
      </c>
      <c r="E6" s="3" t="n">
        <v>0.59</v>
      </c>
    </row>
    <row r="7" customFormat="false" ht="15" hidden="false" customHeight="false" outlineLevel="0" collapsed="false">
      <c r="B7" s="3" t="s">
        <v>56</v>
      </c>
      <c r="C7" s="3" t="n">
        <v>6628</v>
      </c>
      <c r="D7" s="8" t="n">
        <v>0.375</v>
      </c>
      <c r="E7" s="3" t="n">
        <v>-0.02</v>
      </c>
    </row>
    <row r="10" customFormat="false" ht="16.15" hidden="false" customHeight="false" outlineLevel="0" collapsed="false">
      <c r="B10" s="6" t="s">
        <v>57</v>
      </c>
    </row>
    <row r="11" customFormat="false" ht="15" hidden="false" customHeight="false" outlineLevel="0" collapsed="false">
      <c r="B11" s="7" t="s">
        <v>58</v>
      </c>
      <c r="C11" s="7" t="s">
        <v>59</v>
      </c>
      <c r="D11" s="7" t="s">
        <v>52</v>
      </c>
      <c r="E11" s="7" t="s">
        <v>51</v>
      </c>
    </row>
    <row r="12" customFormat="false" ht="15" hidden="false" customHeight="false" outlineLevel="0" collapsed="false">
      <c r="B12" s="3" t="s">
        <v>60</v>
      </c>
      <c r="C12" s="3" t="n">
        <v>2700</v>
      </c>
      <c r="D12" s="3" t="n">
        <v>0.67</v>
      </c>
      <c r="E12" s="8" t="n">
        <v>0.601</v>
      </c>
    </row>
    <row r="13" customFormat="false" ht="15" hidden="false" customHeight="false" outlineLevel="0" collapsed="false">
      <c r="B13" s="3" t="s">
        <v>61</v>
      </c>
      <c r="C13" s="3" t="n">
        <v>499</v>
      </c>
      <c r="D13" s="3" t="n">
        <v>0.53</v>
      </c>
      <c r="E13" s="8" t="n">
        <v>0.561</v>
      </c>
    </row>
    <row r="14" customFormat="false" ht="15" hidden="false" customHeight="false" outlineLevel="0" collapsed="false">
      <c r="B14" s="3" t="s">
        <v>62</v>
      </c>
      <c r="C14" s="3" t="n">
        <v>2511</v>
      </c>
      <c r="D14" s="3" t="n">
        <v>0.51</v>
      </c>
      <c r="E14" s="8" t="n">
        <v>0.515</v>
      </c>
    </row>
    <row r="15" customFormat="false" ht="15" hidden="false" customHeight="false" outlineLevel="0" collapsed="false">
      <c r="B15" s="3" t="s">
        <v>63</v>
      </c>
      <c r="C15" s="3" t="n">
        <v>1336</v>
      </c>
      <c r="D15" s="3" t="n">
        <v>0.47</v>
      </c>
      <c r="E15" s="8" t="n">
        <v>0.509</v>
      </c>
    </row>
    <row r="16" customFormat="false" ht="15" hidden="false" customHeight="false" outlineLevel="0" collapsed="false">
      <c r="B16" s="3" t="s">
        <v>64</v>
      </c>
      <c r="C16" s="3" t="n">
        <v>2954</v>
      </c>
      <c r="D16" s="3" t="n">
        <v>0.44</v>
      </c>
      <c r="E16" s="8" t="n">
        <v>0.506</v>
      </c>
    </row>
    <row r="19" customFormat="false" ht="16.15" hidden="false" customHeight="false" outlineLevel="0" collapsed="false">
      <c r="B19" s="6" t="s">
        <v>65</v>
      </c>
    </row>
    <row r="20" customFormat="false" ht="15" hidden="false" customHeight="false" outlineLevel="0" collapsed="false">
      <c r="B20" s="7" t="s">
        <v>66</v>
      </c>
      <c r="C20" s="7" t="s">
        <v>50</v>
      </c>
      <c r="D20" s="7" t="s">
        <v>51</v>
      </c>
    </row>
    <row r="21" customFormat="false" ht="15" hidden="false" customHeight="false" outlineLevel="0" collapsed="false">
      <c r="B21" s="3" t="s">
        <v>67</v>
      </c>
      <c r="C21" s="3" t="n">
        <v>518</v>
      </c>
      <c r="D21" s="8" t="n">
        <v>0.662</v>
      </c>
    </row>
    <row r="22" customFormat="false" ht="15" hidden="false" customHeight="false" outlineLevel="0" collapsed="false">
      <c r="B22" s="3" t="s">
        <v>68</v>
      </c>
      <c r="C22" s="3" t="n">
        <v>83</v>
      </c>
      <c r="D22" s="8" t="n">
        <v>0.651</v>
      </c>
    </row>
    <row r="23" customFormat="false" ht="15" hidden="false" customHeight="false" outlineLevel="0" collapsed="false">
      <c r="B23" s="3" t="s">
        <v>69</v>
      </c>
      <c r="C23" s="3" t="n">
        <v>51</v>
      </c>
      <c r="D23" s="8" t="n">
        <v>0.608</v>
      </c>
    </row>
    <row r="24" customFormat="false" ht="15" hidden="false" customHeight="false" outlineLevel="0" collapsed="false">
      <c r="B24" s="3" t="s">
        <v>70</v>
      </c>
      <c r="C24" s="3" t="n">
        <v>523</v>
      </c>
      <c r="D24" s="8" t="n">
        <v>0.595</v>
      </c>
    </row>
    <row r="25" customFormat="false" ht="15" hidden="false" customHeight="false" outlineLevel="0" collapsed="false">
      <c r="B25" s="3" t="s">
        <v>71</v>
      </c>
      <c r="C25" s="3" t="n">
        <v>1423</v>
      </c>
      <c r="D25" s="8" t="n">
        <v>0.587</v>
      </c>
    </row>
    <row r="26" customFormat="false" ht="15" hidden="false" customHeight="false" outlineLevel="0" collapsed="false">
      <c r="B26" s="3" t="s">
        <v>72</v>
      </c>
      <c r="C26" s="3" t="n">
        <v>43</v>
      </c>
      <c r="D26" s="8" t="n">
        <v>0.581</v>
      </c>
    </row>
    <row r="27" customFormat="false" ht="15" hidden="false" customHeight="false" outlineLevel="0" collapsed="false">
      <c r="B27" s="3" t="s">
        <v>73</v>
      </c>
      <c r="C27" s="3" t="n">
        <v>236</v>
      </c>
      <c r="D27" s="8" t="n">
        <v>0.568</v>
      </c>
    </row>
    <row r="28" customFormat="false" ht="15" hidden="false" customHeight="false" outlineLevel="0" collapsed="false">
      <c r="B28" s="3" t="s">
        <v>74</v>
      </c>
      <c r="C28" s="3" t="n">
        <v>84</v>
      </c>
      <c r="D28" s="8" t="n">
        <v>0.56</v>
      </c>
    </row>
    <row r="29" customFormat="false" ht="15" hidden="false" customHeight="false" outlineLevel="0" collapsed="false">
      <c r="B29" s="3" t="s">
        <v>75</v>
      </c>
      <c r="C29" s="3" t="n">
        <v>336</v>
      </c>
      <c r="D29" s="8" t="n">
        <v>0.557</v>
      </c>
    </row>
    <row r="30" customFormat="false" ht="15" hidden="false" customHeight="false" outlineLevel="0" collapsed="false">
      <c r="B30" s="3" t="s">
        <v>76</v>
      </c>
      <c r="C30" s="3" t="n">
        <v>236</v>
      </c>
      <c r="D30" s="8" t="n">
        <v>0.555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2" style="0" width="16"/>
  </cols>
  <sheetData>
    <row r="2" customFormat="false" ht="16.15" hidden="false" customHeight="false" outlineLevel="0" collapsed="false">
      <c r="B2" s="6" t="s">
        <v>77</v>
      </c>
    </row>
    <row r="3" customFormat="false" ht="15" hidden="false" customHeight="false" outlineLevel="0" collapsed="false">
      <c r="B3" s="7" t="s">
        <v>78</v>
      </c>
      <c r="C3" s="7" t="s">
        <v>27</v>
      </c>
      <c r="D3" s="7" t="s">
        <v>29</v>
      </c>
      <c r="E3" s="7" t="s">
        <v>79</v>
      </c>
    </row>
    <row r="4" customFormat="false" ht="15" hidden="false" customHeight="false" outlineLevel="0" collapsed="false">
      <c r="B4" s="3" t="s">
        <v>80</v>
      </c>
      <c r="C4" s="3" t="n">
        <v>50470</v>
      </c>
      <c r="D4" s="3" t="n">
        <v>5760</v>
      </c>
      <c r="E4" s="3" t="n">
        <v>192</v>
      </c>
    </row>
    <row r="5" customFormat="false" ht="15" hidden="false" customHeight="false" outlineLevel="0" collapsed="false">
      <c r="B5" s="3" t="s">
        <v>81</v>
      </c>
      <c r="C5" s="3" t="n">
        <v>44206</v>
      </c>
      <c r="D5" s="3" t="n">
        <v>6150</v>
      </c>
      <c r="E5" s="3" t="n">
        <v>166</v>
      </c>
    </row>
    <row r="6" customFormat="false" ht="15" hidden="false" customHeight="false" outlineLevel="0" collapsed="false">
      <c r="B6" s="3" t="s">
        <v>82</v>
      </c>
      <c r="C6" s="3" t="n">
        <v>53749</v>
      </c>
      <c r="D6" s="3" t="n">
        <v>5021</v>
      </c>
      <c r="E6" s="3" t="n">
        <v>173</v>
      </c>
    </row>
    <row r="7" customFormat="false" ht="15" hidden="false" customHeight="false" outlineLevel="0" collapsed="false">
      <c r="B7" s="3" t="s">
        <v>83</v>
      </c>
      <c r="C7" s="3" t="n">
        <v>53907</v>
      </c>
      <c r="D7" s="3" t="n">
        <v>6278</v>
      </c>
      <c r="E7" s="3" t="n">
        <v>178</v>
      </c>
    </row>
    <row r="8" customFormat="false" ht="15" hidden="false" customHeight="false" outlineLevel="0" collapsed="false">
      <c r="B8" s="3" t="s">
        <v>84</v>
      </c>
      <c r="C8" s="3" t="n">
        <v>49524</v>
      </c>
      <c r="D8" s="3" t="n">
        <v>5432</v>
      </c>
      <c r="E8" s="3" t="n">
        <v>188</v>
      </c>
    </row>
    <row r="9" customFormat="false" ht="15" hidden="false" customHeight="false" outlineLevel="0" collapsed="false">
      <c r="B9" s="3" t="s">
        <v>85</v>
      </c>
      <c r="C9" s="3" t="n">
        <v>59511</v>
      </c>
      <c r="D9" s="3" t="n">
        <v>7005</v>
      </c>
      <c r="E9" s="3" t="n">
        <v>203</v>
      </c>
    </row>
    <row r="10" customFormat="false" ht="15" hidden="false" customHeight="false" outlineLevel="0" collapsed="false">
      <c r="B10" s="3" t="s">
        <v>86</v>
      </c>
      <c r="C10" s="3" t="n">
        <v>47948</v>
      </c>
      <c r="D10" s="3" t="n">
        <v>5019</v>
      </c>
      <c r="E10" s="3" t="n">
        <v>184</v>
      </c>
    </row>
    <row r="11" customFormat="false" ht="15" hidden="false" customHeight="false" outlineLevel="0" collapsed="false">
      <c r="B11" s="3" t="s">
        <v>87</v>
      </c>
      <c r="C11" s="3" t="n">
        <v>66563</v>
      </c>
      <c r="D11" s="3" t="n">
        <v>8681</v>
      </c>
      <c r="E11" s="3" t="n">
        <v>213</v>
      </c>
    </row>
    <row r="12" customFormat="false" ht="15" hidden="false" customHeight="false" outlineLevel="0" collapsed="false">
      <c r="B12" s="3" t="s">
        <v>88</v>
      </c>
      <c r="C12" s="3" t="n">
        <v>68413</v>
      </c>
      <c r="D12" s="3" t="n">
        <v>9850</v>
      </c>
      <c r="E12" s="3" t="n">
        <v>202</v>
      </c>
    </row>
    <row r="13" customFormat="false" ht="15" hidden="false" customHeight="false" outlineLevel="0" collapsed="false">
      <c r="B13" s="3" t="s">
        <v>89</v>
      </c>
      <c r="C13" s="3" t="n">
        <v>64270</v>
      </c>
      <c r="D13" s="3" t="n">
        <v>1546</v>
      </c>
      <c r="E13" s="3" t="n">
        <v>206</v>
      </c>
    </row>
    <row r="14" customFormat="false" ht="15" hidden="false" customHeight="false" outlineLevel="0" collapsed="false">
      <c r="B14" s="3" t="s">
        <v>90</v>
      </c>
      <c r="C14" s="3" t="n">
        <v>81282</v>
      </c>
      <c r="D14" s="3" t="n">
        <v>8148</v>
      </c>
      <c r="E14" s="3" t="n">
        <v>244</v>
      </c>
    </row>
    <row r="15" customFormat="false" ht="15" hidden="false" customHeight="false" outlineLevel="0" collapsed="false">
      <c r="B15" s="3" t="s">
        <v>91</v>
      </c>
      <c r="C15" s="3" t="n">
        <v>83803</v>
      </c>
      <c r="D15" s="3" t="n">
        <v>10192</v>
      </c>
      <c r="E15" s="3" t="n">
        <v>254</v>
      </c>
    </row>
    <row r="16" customFormat="false" ht="15" hidden="false" customHeight="false" outlineLevel="0" collapsed="false">
      <c r="B16" s="3" t="s">
        <v>92</v>
      </c>
      <c r="C16" s="3" t="n">
        <v>70639</v>
      </c>
      <c r="D16" s="3" t="n">
        <v>7536</v>
      </c>
      <c r="E16" s="3" t="n">
        <v>248</v>
      </c>
    </row>
    <row r="17" customFormat="false" ht="15" hidden="false" customHeight="false" outlineLevel="0" collapsed="false">
      <c r="B17" s="3" t="s">
        <v>93</v>
      </c>
      <c r="C17" s="3" t="n">
        <v>48334</v>
      </c>
      <c r="D17" s="3" t="n">
        <v>3229</v>
      </c>
      <c r="E17" s="3" t="n">
        <v>199</v>
      </c>
    </row>
    <row r="18" customFormat="false" ht="15" hidden="false" customHeight="false" outlineLevel="0" collapsed="false">
      <c r="B18" s="3" t="s">
        <v>94</v>
      </c>
      <c r="C18" s="3" t="n">
        <v>50056</v>
      </c>
      <c r="D18" s="3" t="n">
        <v>5480</v>
      </c>
      <c r="E18" s="3" t="n">
        <v>202</v>
      </c>
    </row>
    <row r="19" customFormat="false" ht="15" hidden="false" customHeight="false" outlineLevel="0" collapsed="false">
      <c r="B19" s="3" t="s">
        <v>95</v>
      </c>
      <c r="C19" s="3" t="n">
        <v>50813</v>
      </c>
      <c r="D19" s="3" t="n">
        <v>7590</v>
      </c>
      <c r="E19" s="3" t="n">
        <v>217</v>
      </c>
    </row>
    <row r="20" customFormat="false" ht="15" hidden="false" customHeight="false" outlineLevel="0" collapsed="false">
      <c r="B20" s="3" t="s">
        <v>96</v>
      </c>
      <c r="C20" s="3" t="n">
        <v>55204</v>
      </c>
      <c r="D20" s="3" t="n">
        <v>2736</v>
      </c>
      <c r="E20" s="3" t="n">
        <v>223</v>
      </c>
    </row>
    <row r="21" customFormat="false" ht="15" hidden="false" customHeight="false" outlineLevel="0" collapsed="false">
      <c r="B21" s="3" t="s">
        <v>97</v>
      </c>
      <c r="C21" s="3" t="n">
        <v>35334</v>
      </c>
      <c r="D21" s="3" t="n">
        <v>4973</v>
      </c>
      <c r="E21" s="3" t="n">
        <v>151</v>
      </c>
    </row>
    <row r="22" customFormat="false" ht="15" hidden="false" customHeight="false" outlineLevel="0" collapsed="false">
      <c r="B22" s="3" t="s">
        <v>98</v>
      </c>
      <c r="C22" s="3" t="n">
        <v>42049</v>
      </c>
      <c r="D22" s="3" t="n">
        <v>3640</v>
      </c>
      <c r="E22" s="3" t="n">
        <v>185</v>
      </c>
    </row>
    <row r="23" customFormat="false" ht="15" hidden="false" customHeight="false" outlineLevel="0" collapsed="false">
      <c r="B23" s="3" t="s">
        <v>99</v>
      </c>
      <c r="C23" s="3" t="n">
        <v>45246</v>
      </c>
      <c r="D23" s="3" t="n">
        <v>2161</v>
      </c>
      <c r="E23" s="3" t="n">
        <v>171</v>
      </c>
    </row>
    <row r="24" customFormat="false" ht="15" hidden="false" customHeight="false" outlineLevel="0" collapsed="false">
      <c r="B24" s="3" t="s">
        <v>100</v>
      </c>
      <c r="C24" s="3" t="n">
        <v>45519</v>
      </c>
      <c r="D24" s="3" t="n">
        <v>5925</v>
      </c>
      <c r="E24" s="3" t="n">
        <v>179</v>
      </c>
    </row>
    <row r="25" customFormat="false" ht="15" hidden="false" customHeight="false" outlineLevel="0" collapsed="false">
      <c r="B25" s="3" t="s">
        <v>101</v>
      </c>
      <c r="C25" s="3" t="n">
        <v>48478</v>
      </c>
      <c r="D25" s="3" t="n">
        <v>6089</v>
      </c>
      <c r="E25" s="3" t="n">
        <v>206</v>
      </c>
    </row>
    <row r="26" customFormat="false" ht="15" hidden="false" customHeight="false" outlineLevel="0" collapsed="false">
      <c r="B26" s="3" t="s">
        <v>102</v>
      </c>
      <c r="C26" s="3" t="n">
        <v>47199</v>
      </c>
      <c r="D26" s="3" t="n">
        <v>4139</v>
      </c>
      <c r="E26" s="3" t="n">
        <v>191</v>
      </c>
    </row>
    <row r="27" customFormat="false" ht="15" hidden="false" customHeight="false" outlineLevel="0" collapsed="false">
      <c r="B27" s="3" t="s">
        <v>103</v>
      </c>
      <c r="C27" s="3" t="n">
        <v>49276</v>
      </c>
      <c r="D27" s="3" t="n">
        <v>4833</v>
      </c>
      <c r="E27" s="3" t="n">
        <v>184</v>
      </c>
    </row>
    <row r="28" customFormat="false" ht="15" hidden="false" customHeight="false" outlineLevel="0" collapsed="false">
      <c r="B28" s="3" t="s">
        <v>104</v>
      </c>
      <c r="C28" s="3" t="n">
        <v>38417</v>
      </c>
      <c r="D28" s="3" t="n">
        <v>4059</v>
      </c>
      <c r="E28" s="3" t="n">
        <v>157</v>
      </c>
    </row>
    <row r="29" customFormat="false" ht="15" hidden="false" customHeight="false" outlineLevel="0" collapsed="false">
      <c r="B29" s="3" t="s">
        <v>105</v>
      </c>
      <c r="C29" s="3" t="n">
        <v>51107</v>
      </c>
      <c r="D29" s="3" t="n">
        <v>5486</v>
      </c>
      <c r="E29" s="3" t="n">
        <v>194</v>
      </c>
    </row>
    <row r="30" customFormat="false" ht="15" hidden="false" customHeight="false" outlineLevel="0" collapsed="false">
      <c r="B30" s="3" t="s">
        <v>106</v>
      </c>
      <c r="C30" s="3" t="n">
        <v>45322</v>
      </c>
      <c r="D30" s="3" t="n">
        <v>5011</v>
      </c>
      <c r="E30" s="3" t="n">
        <v>190</v>
      </c>
    </row>
    <row r="31" customFormat="false" ht="15" hidden="false" customHeight="false" outlineLevel="0" collapsed="false">
      <c r="B31" s="3" t="s">
        <v>107</v>
      </c>
      <c r="C31" s="3" t="n">
        <v>47534</v>
      </c>
      <c r="D31" s="3" t="n">
        <v>3902</v>
      </c>
      <c r="E31" s="3" t="n">
        <v>173</v>
      </c>
    </row>
    <row r="32" customFormat="false" ht="15" hidden="false" customHeight="false" outlineLevel="0" collapsed="false">
      <c r="B32" s="3" t="s">
        <v>108</v>
      </c>
      <c r="C32" s="3" t="n">
        <v>46050</v>
      </c>
      <c r="D32" s="3" t="n">
        <v>4377</v>
      </c>
      <c r="E32" s="3" t="n">
        <v>176</v>
      </c>
    </row>
    <row r="33" customFormat="false" ht="15" hidden="false" customHeight="false" outlineLevel="0" collapsed="false">
      <c r="B33" s="3" t="s">
        <v>109</v>
      </c>
      <c r="C33" s="3" t="n">
        <v>42358</v>
      </c>
      <c r="D33" s="3" t="n">
        <v>3977</v>
      </c>
      <c r="E33" s="3" t="n">
        <v>150</v>
      </c>
    </row>
    <row r="34" customFormat="false" ht="15" hidden="false" customHeight="false" outlineLevel="0" collapsed="false">
      <c r="B34" s="3" t="s">
        <v>110</v>
      </c>
      <c r="C34" s="3" t="n">
        <v>44589</v>
      </c>
      <c r="D34" s="3" t="n">
        <v>7277</v>
      </c>
      <c r="E34" s="3" t="n">
        <v>150</v>
      </c>
    </row>
    <row r="35" customFormat="false" ht="15" hidden="false" customHeight="false" outlineLevel="0" collapsed="false">
      <c r="B35" s="3" t="s">
        <v>111</v>
      </c>
      <c r="C35" s="3" t="n">
        <v>43274</v>
      </c>
      <c r="D35" s="3" t="n">
        <v>3733</v>
      </c>
      <c r="E35" s="3" t="n">
        <v>147</v>
      </c>
    </row>
    <row r="36" customFormat="false" ht="15" hidden="false" customHeight="false" outlineLevel="0" collapsed="false">
      <c r="B36" s="3" t="s">
        <v>112</v>
      </c>
      <c r="C36" s="3" t="n">
        <v>54144</v>
      </c>
      <c r="D36" s="3" t="n">
        <v>5982</v>
      </c>
      <c r="E36" s="3" t="n">
        <v>167</v>
      </c>
    </row>
    <row r="37" customFormat="false" ht="15" hidden="false" customHeight="false" outlineLevel="0" collapsed="false">
      <c r="B37" s="3" t="s">
        <v>113</v>
      </c>
      <c r="C37" s="3" t="n">
        <v>56910</v>
      </c>
      <c r="D37" s="3" t="n">
        <v>10000</v>
      </c>
      <c r="E37" s="3" t="n">
        <v>118</v>
      </c>
    </row>
    <row r="38" customFormat="false" ht="15" hidden="false" customHeight="false" outlineLevel="0" collapsed="false">
      <c r="B38" s="3" t="s">
        <v>114</v>
      </c>
      <c r="C38" s="3" t="n">
        <v>46716</v>
      </c>
      <c r="D38" s="3" t="n">
        <v>5690</v>
      </c>
      <c r="E38" s="3" t="n">
        <v>151</v>
      </c>
    </row>
    <row r="39" customFormat="false" ht="15" hidden="false" customHeight="false" outlineLevel="0" collapsed="false">
      <c r="B39" s="3" t="s">
        <v>115</v>
      </c>
      <c r="C39" s="3" t="n">
        <v>76387</v>
      </c>
      <c r="D39" s="3" t="n">
        <v>8534</v>
      </c>
      <c r="E39" s="3" t="n">
        <v>260</v>
      </c>
    </row>
    <row r="40" customFormat="false" ht="15" hidden="false" customHeight="false" outlineLevel="0" collapsed="false">
      <c r="B40" s="3" t="s">
        <v>116</v>
      </c>
      <c r="C40" s="3" t="n">
        <v>85382</v>
      </c>
      <c r="D40" s="3" t="n">
        <v>6509</v>
      </c>
      <c r="E40" s="3" t="n">
        <v>312</v>
      </c>
    </row>
    <row r="43" customFormat="false" ht="16.15" hidden="false" customHeight="false" outlineLevel="0" collapsed="false">
      <c r="B43" s="6" t="s">
        <v>117</v>
      </c>
    </row>
    <row r="44" customFormat="false" ht="15" hidden="false" customHeight="false" outlineLevel="0" collapsed="false">
      <c r="B44" s="7" t="s">
        <v>118</v>
      </c>
      <c r="C44" s="7" t="s">
        <v>29</v>
      </c>
      <c r="D44" s="7" t="s">
        <v>27</v>
      </c>
      <c r="E44" s="7" t="s">
        <v>119</v>
      </c>
    </row>
    <row r="45" customFormat="false" ht="15" hidden="false" customHeight="false" outlineLevel="0" collapsed="false">
      <c r="B45" s="3" t="s">
        <v>120</v>
      </c>
      <c r="C45" s="3" t="n">
        <v>31753</v>
      </c>
      <c r="D45" s="3" t="n">
        <v>357421</v>
      </c>
      <c r="E45" s="8" t="n">
        <v>0.0888</v>
      </c>
    </row>
    <row r="46" customFormat="false" ht="15" hidden="false" customHeight="false" outlineLevel="0" collapsed="false">
      <c r="B46" s="3" t="s">
        <v>121</v>
      </c>
      <c r="C46" s="3" t="n">
        <v>30112</v>
      </c>
      <c r="D46" s="3" t="n">
        <v>256550</v>
      </c>
      <c r="E46" s="8" t="n">
        <v>0.1174</v>
      </c>
    </row>
    <row r="47" customFormat="false" ht="15" hidden="false" customHeight="false" outlineLevel="0" collapsed="false">
      <c r="B47" s="3" t="s">
        <v>122</v>
      </c>
      <c r="C47" s="3" t="n">
        <v>28162</v>
      </c>
      <c r="D47" s="3" t="n">
        <v>238484</v>
      </c>
      <c r="E47" s="8" t="n">
        <v>0.1181</v>
      </c>
    </row>
    <row r="48" customFormat="false" ht="15" hidden="false" customHeight="false" outlineLevel="0" collapsed="false">
      <c r="B48" s="3" t="s">
        <v>123</v>
      </c>
      <c r="C48" s="3" t="n">
        <v>27637</v>
      </c>
      <c r="D48" s="3" t="n">
        <v>292681</v>
      </c>
      <c r="E48" s="8" t="n">
        <v>0.0944</v>
      </c>
    </row>
    <row r="49" customFormat="false" ht="15" hidden="false" customHeight="false" outlineLevel="0" collapsed="false">
      <c r="B49" s="3" t="s">
        <v>124</v>
      </c>
      <c r="C49" s="3" t="n">
        <v>17297</v>
      </c>
      <c r="D49" s="3" t="n">
        <v>172627</v>
      </c>
      <c r="E49" s="8" t="n">
        <v>0.1002</v>
      </c>
    </row>
    <row r="50" customFormat="false" ht="15" hidden="false" customHeight="false" outlineLevel="0" collapsed="false">
      <c r="B50" s="3" t="s">
        <v>125</v>
      </c>
      <c r="C50" s="3" t="n">
        <v>15265</v>
      </c>
      <c r="D50" s="3" t="n">
        <v>150792</v>
      </c>
      <c r="E50" s="8" t="n">
        <v>0.1012</v>
      </c>
    </row>
    <row r="51" customFormat="false" ht="15" hidden="false" customHeight="false" outlineLevel="0" collapsed="false">
      <c r="B51" s="3" t="s">
        <v>126</v>
      </c>
      <c r="C51" s="3" t="n">
        <v>12519</v>
      </c>
      <c r="D51" s="3" t="n">
        <v>117007</v>
      </c>
      <c r="E51" s="8" t="n">
        <v>0.107</v>
      </c>
    </row>
    <row r="52" customFormat="false" ht="15" hidden="false" customHeight="false" outlineLevel="0" collapsed="false">
      <c r="B52" s="3" t="s">
        <v>127</v>
      </c>
      <c r="C52" s="3" t="n">
        <v>11681</v>
      </c>
      <c r="D52" s="3" t="n">
        <v>105454</v>
      </c>
      <c r="E52" s="8" t="n">
        <v>0.1108</v>
      </c>
    </row>
    <row r="53" customFormat="false" ht="15" hidden="false" customHeight="false" outlineLevel="0" collapsed="false">
      <c r="B53" s="3" t="s">
        <v>128</v>
      </c>
      <c r="C53" s="3" t="n">
        <v>5397</v>
      </c>
      <c r="D53" s="3" t="n">
        <v>48361</v>
      </c>
      <c r="E53" s="8" t="n">
        <v>0.1116</v>
      </c>
    </row>
    <row r="54" customFormat="false" ht="15" hidden="false" customHeight="false" outlineLevel="0" collapsed="false">
      <c r="B54" s="3" t="s">
        <v>129</v>
      </c>
      <c r="C54" s="3" t="n">
        <v>3405</v>
      </c>
      <c r="D54" s="3" t="n">
        <v>28782</v>
      </c>
      <c r="E54" s="8" t="n">
        <v>0.1183</v>
      </c>
    </row>
    <row r="57" customFormat="false" ht="16.15" hidden="false" customHeight="false" outlineLevel="0" collapsed="false">
      <c r="B57" s="6" t="s">
        <v>130</v>
      </c>
    </row>
    <row r="58" customFormat="false" ht="15" hidden="false" customHeight="false" outlineLevel="0" collapsed="false">
      <c r="B58" s="7" t="s">
        <v>118</v>
      </c>
      <c r="C58" s="7" t="s">
        <v>29</v>
      </c>
      <c r="D58" s="7" t="s">
        <v>27</v>
      </c>
    </row>
    <row r="59" customFormat="false" ht="15" hidden="false" customHeight="false" outlineLevel="0" collapsed="false">
      <c r="B59" s="3" t="s">
        <v>131</v>
      </c>
      <c r="C59" s="3" t="n">
        <v>-22</v>
      </c>
      <c r="D59" s="3" t="n">
        <v>901</v>
      </c>
    </row>
    <row r="60" customFormat="false" ht="15" hidden="false" customHeight="false" outlineLevel="0" collapsed="false">
      <c r="B60" s="3" t="s">
        <v>132</v>
      </c>
      <c r="C60" s="3" t="n">
        <v>-7</v>
      </c>
      <c r="D60" s="3" t="n">
        <v>158</v>
      </c>
    </row>
    <row r="61" customFormat="false" ht="15" hidden="false" customHeight="false" outlineLevel="0" collapsed="false">
      <c r="B61" s="3" t="s">
        <v>133</v>
      </c>
      <c r="C61" s="3" t="n">
        <v>47</v>
      </c>
      <c r="D61" s="3" t="n">
        <v>2026</v>
      </c>
    </row>
    <row r="62" customFormat="false" ht="15" hidden="false" customHeight="false" outlineLevel="0" collapsed="false">
      <c r="B62" s="3" t="s">
        <v>134</v>
      </c>
      <c r="C62" s="3" t="n">
        <v>85</v>
      </c>
      <c r="D62" s="3" t="n">
        <v>6575</v>
      </c>
    </row>
    <row r="63" customFormat="false" ht="15" hidden="false" customHeight="false" outlineLevel="0" collapsed="false">
      <c r="B63" s="3" t="s">
        <v>135</v>
      </c>
      <c r="C63" s="3" t="n">
        <v>106</v>
      </c>
      <c r="D63" s="3" t="n">
        <v>591</v>
      </c>
    </row>
    <row r="64" customFormat="false" ht="15" hidden="false" customHeight="false" outlineLevel="0" collapsed="false">
      <c r="B64" s="3" t="s">
        <v>136</v>
      </c>
      <c r="C64" s="3" t="n">
        <v>109</v>
      </c>
      <c r="D64" s="3" t="n">
        <v>589</v>
      </c>
    </row>
    <row r="65" customFormat="false" ht="15" hidden="false" customHeight="false" outlineLevel="0" collapsed="false">
      <c r="B65" s="3" t="s">
        <v>137</v>
      </c>
      <c r="C65" s="3" t="n">
        <v>204</v>
      </c>
      <c r="D65" s="3" t="n">
        <v>1600</v>
      </c>
    </row>
    <row r="66" customFormat="false" ht="15" hidden="false" customHeight="false" outlineLevel="0" collapsed="false">
      <c r="B66" s="3" t="s">
        <v>138</v>
      </c>
      <c r="C66" s="3" t="n">
        <v>234</v>
      </c>
      <c r="D66" s="3" t="n">
        <v>2186</v>
      </c>
    </row>
    <row r="67" customFormat="false" ht="15" hidden="false" customHeight="false" outlineLevel="0" collapsed="false">
      <c r="B67" s="3" t="s">
        <v>139</v>
      </c>
      <c r="C67" s="3" t="n">
        <v>345</v>
      </c>
      <c r="D67" s="3" t="n">
        <v>4543</v>
      </c>
    </row>
    <row r="68" customFormat="false" ht="15" hidden="false" customHeight="false" outlineLevel="0" collapsed="false">
      <c r="B68" s="3" t="s">
        <v>140</v>
      </c>
      <c r="C68" s="3" t="n">
        <v>386</v>
      </c>
      <c r="D68" s="3" t="n">
        <v>2024</v>
      </c>
    </row>
    <row r="71" customFormat="false" ht="16.15" hidden="false" customHeight="false" outlineLevel="0" collapsed="false">
      <c r="B71" s="6" t="s">
        <v>141</v>
      </c>
    </row>
    <row r="72" customFormat="false" ht="15" hidden="false" customHeight="false" outlineLevel="0" collapsed="false">
      <c r="B72" s="7" t="s">
        <v>142</v>
      </c>
      <c r="C72" s="7" t="s">
        <v>143</v>
      </c>
      <c r="D72" s="7" t="s">
        <v>27</v>
      </c>
      <c r="E72" s="7" t="s">
        <v>29</v>
      </c>
      <c r="F72" s="7" t="s">
        <v>144</v>
      </c>
    </row>
    <row r="73" customFormat="false" ht="15" hidden="false" customHeight="false" outlineLevel="0" collapsed="false">
      <c r="B73" s="3" t="s">
        <v>145</v>
      </c>
      <c r="C73" s="3" t="n">
        <v>2852</v>
      </c>
      <c r="D73" s="3" t="n">
        <v>1037151</v>
      </c>
      <c r="E73" s="3" t="n">
        <v>110597</v>
      </c>
      <c r="F73" s="3" t="n">
        <v>364</v>
      </c>
    </row>
    <row r="74" customFormat="false" ht="15" hidden="false" customHeight="false" outlineLevel="0" collapsed="false">
      <c r="B74" s="3" t="s">
        <v>146</v>
      </c>
      <c r="C74" s="3" t="n">
        <v>2055</v>
      </c>
      <c r="D74" s="3" t="n">
        <v>665873</v>
      </c>
      <c r="E74" s="3" t="n">
        <v>73695</v>
      </c>
      <c r="F74" s="3" t="n">
        <v>324</v>
      </c>
    </row>
    <row r="75" customFormat="false" ht="15" hidden="false" customHeight="false" outlineLevel="0" collapsed="false">
      <c r="B75" s="3" t="s">
        <v>147</v>
      </c>
      <c r="C75" s="3" t="n">
        <v>669</v>
      </c>
      <c r="D75" s="3" t="n">
        <v>286962</v>
      </c>
      <c r="E75" s="3" t="n">
        <v>27658</v>
      </c>
      <c r="F75" s="3" t="n">
        <v>429</v>
      </c>
    </row>
    <row r="78" customFormat="false" ht="16.15" hidden="false" customHeight="false" outlineLevel="0" collapsed="false">
      <c r="B78" s="6" t="s">
        <v>148</v>
      </c>
    </row>
    <row r="79" customFormat="false" ht="15" hidden="false" customHeight="false" outlineLevel="0" collapsed="false">
      <c r="B79" s="7" t="s">
        <v>149</v>
      </c>
      <c r="C79" s="7" t="s">
        <v>150</v>
      </c>
      <c r="D79" s="7" t="s">
        <v>151</v>
      </c>
    </row>
    <row r="80" customFormat="false" ht="15" hidden="false" customHeight="false" outlineLevel="0" collapsed="false">
      <c r="B80" s="3" t="s">
        <v>152</v>
      </c>
      <c r="C80" s="3" t="n">
        <v>534</v>
      </c>
      <c r="D80" s="8" t="n">
        <v>0.0962</v>
      </c>
    </row>
    <row r="81" customFormat="false" ht="15" hidden="false" customHeight="false" outlineLevel="0" collapsed="false">
      <c r="B81" s="3" t="s">
        <v>153</v>
      </c>
      <c r="C81" s="3" t="n">
        <v>4373</v>
      </c>
      <c r="D81" s="8" t="n">
        <v>0.1247</v>
      </c>
    </row>
    <row r="82" customFormat="false" ht="15" hidden="false" customHeight="false" outlineLevel="0" collapsed="false">
      <c r="B82" s="3" t="s">
        <v>154</v>
      </c>
      <c r="C82" s="3" t="n">
        <v>3943</v>
      </c>
      <c r="D82" s="8" t="n">
        <v>0.1197</v>
      </c>
    </row>
    <row r="83" customFormat="false" ht="15" hidden="false" customHeight="false" outlineLevel="0" collapsed="false">
      <c r="B83" s="3" t="s">
        <v>155</v>
      </c>
      <c r="C83" s="3" t="n">
        <v>1150</v>
      </c>
      <c r="D83" s="8" t="n">
        <v>0.109</v>
      </c>
    </row>
    <row r="86" customFormat="false" ht="16.15" hidden="false" customHeight="false" outlineLevel="0" collapsed="false">
      <c r="B86" s="6" t="s">
        <v>156</v>
      </c>
    </row>
    <row r="87" customFormat="false" ht="15" hidden="false" customHeight="false" outlineLevel="0" collapsed="false">
      <c r="B87" s="7" t="s">
        <v>66</v>
      </c>
      <c r="C87" s="7" t="s">
        <v>27</v>
      </c>
      <c r="D87" s="7" t="s">
        <v>29</v>
      </c>
      <c r="E87" s="7" t="s">
        <v>157</v>
      </c>
    </row>
    <row r="88" customFormat="false" ht="15" hidden="false" customHeight="false" outlineLevel="0" collapsed="false">
      <c r="B88" s="3" t="s">
        <v>71</v>
      </c>
      <c r="C88" s="3" t="n">
        <v>307454</v>
      </c>
      <c r="D88" s="3" t="n">
        <v>34987</v>
      </c>
      <c r="E88" s="3" t="n">
        <v>979</v>
      </c>
    </row>
    <row r="89" customFormat="false" ht="15" hidden="false" customHeight="false" outlineLevel="0" collapsed="false">
      <c r="B89" s="3" t="s">
        <v>158</v>
      </c>
      <c r="C89" s="3" t="n">
        <v>259576</v>
      </c>
      <c r="D89" s="3" t="n">
        <v>22333</v>
      </c>
      <c r="E89" s="3" t="n">
        <v>952</v>
      </c>
    </row>
    <row r="90" customFormat="false" ht="15" hidden="false" customHeight="false" outlineLevel="0" collapsed="false">
      <c r="B90" s="3" t="s">
        <v>159</v>
      </c>
      <c r="C90" s="3" t="n">
        <v>154828</v>
      </c>
      <c r="D90" s="3" t="n">
        <v>18482</v>
      </c>
      <c r="E90" s="3" t="n">
        <v>546</v>
      </c>
    </row>
    <row r="91" customFormat="false" ht="15" hidden="false" customHeight="false" outlineLevel="0" collapsed="false">
      <c r="B91" s="3" t="s">
        <v>160</v>
      </c>
      <c r="C91" s="3" t="n">
        <v>154306</v>
      </c>
      <c r="D91" s="3" t="n">
        <v>11453</v>
      </c>
      <c r="E91" s="3" t="n">
        <v>560</v>
      </c>
    </row>
    <row r="92" customFormat="false" ht="15" hidden="false" customHeight="false" outlineLevel="0" collapsed="false">
      <c r="B92" s="3" t="s">
        <v>161</v>
      </c>
      <c r="C92" s="3" t="n">
        <v>147683</v>
      </c>
      <c r="D92" s="3" t="n">
        <v>21600</v>
      </c>
      <c r="E92" s="3" t="n">
        <v>551</v>
      </c>
    </row>
    <row r="93" customFormat="false" ht="15" hidden="false" customHeight="false" outlineLevel="0" collapsed="false">
      <c r="B93" s="3" t="s">
        <v>162</v>
      </c>
      <c r="C93" s="3" t="n">
        <v>126142</v>
      </c>
      <c r="D93" s="3" t="n">
        <v>12221</v>
      </c>
      <c r="E93" s="3" t="n">
        <v>400</v>
      </c>
    </row>
    <row r="94" customFormat="false" ht="15" hidden="false" customHeight="false" outlineLevel="0" collapsed="false">
      <c r="B94" s="3" t="s">
        <v>163</v>
      </c>
      <c r="C94" s="3" t="n">
        <v>125505</v>
      </c>
      <c r="D94" s="3" t="n">
        <v>15144</v>
      </c>
      <c r="E94" s="3" t="n">
        <v>430</v>
      </c>
    </row>
    <row r="95" customFormat="false" ht="15" hidden="false" customHeight="false" outlineLevel="0" collapsed="false">
      <c r="B95" s="3" t="s">
        <v>67</v>
      </c>
      <c r="C95" s="3" t="n">
        <v>112305</v>
      </c>
      <c r="D95" s="3" t="n">
        <v>12229</v>
      </c>
      <c r="E95" s="3" t="n">
        <v>342</v>
      </c>
    </row>
    <row r="96" customFormat="false" ht="15" hidden="false" customHeight="false" outlineLevel="0" collapsed="false">
      <c r="B96" s="3" t="s">
        <v>70</v>
      </c>
      <c r="C96" s="3" t="n">
        <v>109992</v>
      </c>
      <c r="D96" s="3" t="n">
        <v>13916</v>
      </c>
      <c r="E96" s="3" t="n">
        <v>354</v>
      </c>
    </row>
    <row r="97" customFormat="false" ht="15" hidden="false" customHeight="false" outlineLevel="0" collapsed="false">
      <c r="B97" s="3" t="s">
        <v>164</v>
      </c>
      <c r="C97" s="3" t="n">
        <v>73382</v>
      </c>
      <c r="D97" s="3" t="n">
        <v>7864</v>
      </c>
      <c r="E97" s="3" t="n">
        <v>272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2026-09-16T01:31:48Z</dcterms:created>
  <dc:creator>openpyxl</dc:creator>
  <dc:description/>
  <dc:language>en-US</dc:language>
  <cp:lastModifiedBy/>
  <dcterms:modified xsi:type="dcterms:W3CDTF">2026-09-16T01:31:49Z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